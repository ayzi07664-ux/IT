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46080" windowHeight="22152" activeTab="1"/>
  </bookViews>
  <sheets>
    <sheet name="Лист2" sheetId="2" r:id="rId1"/>
    <sheet name="Лист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2" i="3"/>
  <c r="C7" i="3"/>
  <c r="D7" i="3"/>
  <c r="E7" i="3"/>
  <c r="F7" i="3"/>
  <c r="B7" i="3"/>
  <c r="E3" i="3"/>
  <c r="F3" i="3" s="1"/>
  <c r="E4" i="3"/>
  <c r="F4" i="3" s="1"/>
  <c r="E5" i="3"/>
  <c r="F5" i="3" s="1"/>
  <c r="E2" i="3"/>
  <c r="F2" i="3" s="1"/>
  <c r="B11" i="2"/>
  <c r="B10" i="2"/>
  <c r="B9" i="2"/>
  <c r="F2" i="2"/>
  <c r="C7" i="2"/>
  <c r="D7" i="2"/>
  <c r="E7" i="2"/>
  <c r="F7" i="2"/>
  <c r="B7" i="2"/>
  <c r="F3" i="2"/>
  <c r="J3" i="2"/>
  <c r="J4" i="2"/>
  <c r="J5" i="2"/>
  <c r="J6" i="2"/>
  <c r="J2" i="2"/>
  <c r="E3" i="2"/>
  <c r="E4" i="2"/>
  <c r="F4" i="2" s="1"/>
  <c r="E5" i="2"/>
  <c r="E6" i="2"/>
  <c r="E2" i="2"/>
  <c r="F5" i="2"/>
  <c r="F6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<sst xmlns="http://schemas.openxmlformats.org/spreadsheetml/2006/main" count="30" uniqueCount="29">
  <si>
    <t>К выдаче</t>
  </si>
  <si>
    <t>№ п/п</t>
  </si>
  <si>
    <t>Петров П.П.</t>
  </si>
  <si>
    <t>Иванов И.И.</t>
  </si>
  <si>
    <t>ФИО сотрудников</t>
  </si>
  <si>
    <t>Оклад(руб.)</t>
  </si>
  <si>
    <t>Премия(%)</t>
  </si>
  <si>
    <t>Премия(руб.)</t>
  </si>
  <si>
    <t>НДФЛ(13%)</t>
  </si>
  <si>
    <t>Сидоров С.с.</t>
  </si>
  <si>
    <t>Кузнецова К.К.</t>
  </si>
  <si>
    <t>Смирнов С.С.</t>
  </si>
  <si>
    <t>Ставка НДФЛ</t>
  </si>
  <si>
    <t>Коэффицент</t>
  </si>
  <si>
    <t>ИТОГО:</t>
  </si>
  <si>
    <t>Cредняя зарплата:</t>
  </si>
  <si>
    <t>Максимум</t>
  </si>
  <si>
    <t>Минимум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</si>
  <si>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</si>
  <si>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</si>
  <si>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</si>
  <si>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</si>
  <si>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</si>
  <si>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</si>
  <si>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</si>
  <si>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 %</t>
  </si>
  <si>
    <t>Стоимость</t>
  </si>
  <si>
    <t>Итого со скидкой</t>
  </si>
  <si>
    <t>Общая ставка НДС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</si>
</sst>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164" formatCode="#,##0.00\ _₽"/>
    <numFmt numFmtId="165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9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/>
    <xf numFmtId="0" fontId="0" fillId="0" borderId="0" xfId="0" applyNumberFormat="1"/>
    <xf numFmtId="0" fontId="0" fillId="3" borderId="0" xfId="0" applyFill="1"/>
    <xf numFmtId="164" fontId="0" fillId="0" borderId="0" xfId="0" applyNumberFormat="1" applyFont="1"/>
    <xf numFmtId="4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190" zoomScaleNormal="190" workbookViewId="0">
      <selection activeCell="F16" sqref="F16"/>
    </sheetView>
  </sheetViews>
  <sheetFormatPr defaultRowHeight="14.4" x14ac:dyDescent="0.3"/>
  <cols>
    <col min="1" max="1" width="17.5546875" customWidth="1"/>
    <col min="2" max="2" width="11.77734375" bestFit="1" customWidth="1"/>
    <col min="3" max="3" width="11.33203125" customWidth="1"/>
    <col min="4" max="4" width="12.44140625" customWidth="1"/>
    <col min="5" max="5" width="10.77734375" customWidth="1"/>
    <col min="6" max="6" width="12" bestFit="1" customWidth="1"/>
    <col min="8" max="8" width="13.5546875" customWidth="1"/>
    <col min="9" max="9" width="12" customWidth="1"/>
  </cols>
  <sheetData>
    <row r="1" spans="1:10" x14ac:dyDescent="0.3">
      <c r="A1" s="4" t="s">
        <v>4</v>
      </c>
      <c r="B1" s="5" t="s">
        <v>5</v>
      </c>
      <c r="C1" s="4" t="s">
        <v>6</v>
      </c>
      <c r="D1" s="7" t="s">
        <v>7</v>
      </c>
      <c r="E1" s="7" t="s">
        <v>8</v>
      </c>
      <c r="F1" s="7" t="s">
        <v>0</v>
      </c>
      <c r="G1" s="7" t="s">
        <v>1</v>
      </c>
      <c r="H1" s="7" t="s">
        <v>12</v>
      </c>
      <c r="I1" s="7" t="s">
        <v>13</v>
      </c>
    </row>
    <row r="2" spans="1:10" x14ac:dyDescent="0.3">
      <c r="A2" t="s">
        <v>3</v>
      </c>
      <c r="B2" s="6">
        <v>50000</v>
      </c>
      <c r="C2">
        <v>20</v>
      </c>
      <c r="D2" s="8">
        <f>B2*C2/100</f>
        <v>10000</v>
      </c>
      <c r="E2" s="9">
        <f>(B2+D2)*$H$2</f>
        <v>9000</v>
      </c>
      <c r="F2" s="12">
        <f>B2+D2-E2</f>
        <v>51000</v>
      </c>
      <c r="G2">
        <v>1</v>
      </c>
      <c r="H2" s="10">
        <v>0.15</v>
      </c>
      <c r="I2">
        <v>1.5</v>
      </c>
      <c r="J2">
        <f>B2*$I$2</f>
        <v>75000</v>
      </c>
    </row>
    <row r="3" spans="1:10" x14ac:dyDescent="0.3">
      <c r="A3" t="s">
        <v>2</v>
      </c>
      <c r="B3" s="6">
        <v>45000</v>
      </c>
      <c r="C3">
        <v>15</v>
      </c>
      <c r="D3" s="8">
        <f t="shared" ref="D3:D6" si="0">B3*C3/100</f>
        <v>6750</v>
      </c>
      <c r="E3" s="9">
        <f t="shared" ref="E3:E6" si="1">(B3+D3)*$H$2</f>
        <v>7762.5</v>
      </c>
      <c r="F3" s="12">
        <f>B3+D3-E3</f>
        <v>43987.5</v>
      </c>
      <c r="G3">
        <v>2</v>
      </c>
      <c r="J3">
        <f t="shared" ref="J3:J6" si="2">B3*$I$2</f>
        <v>67500</v>
      </c>
    </row>
    <row r="4" spans="1:10" x14ac:dyDescent="0.3">
      <c r="A4" t="s">
        <v>9</v>
      </c>
      <c r="B4" s="6">
        <v>62000</v>
      </c>
      <c r="C4">
        <v>25</v>
      </c>
      <c r="D4" s="8">
        <f t="shared" si="0"/>
        <v>15500</v>
      </c>
      <c r="E4" s="9">
        <f t="shared" si="1"/>
        <v>11625</v>
      </c>
      <c r="F4" s="12">
        <f t="shared" ref="F3:F6" si="3">B4+D4-E4</f>
        <v>65875</v>
      </c>
      <c r="G4">
        <v>3</v>
      </c>
      <c r="J4">
        <f t="shared" si="2"/>
        <v>93000</v>
      </c>
    </row>
    <row r="5" spans="1:10" x14ac:dyDescent="0.3">
      <c r="A5" t="s">
        <v>10</v>
      </c>
      <c r="B5" s="6">
        <v>55000</v>
      </c>
      <c r="C5">
        <v>10</v>
      </c>
      <c r="D5" s="8">
        <f t="shared" si="0"/>
        <v>5500</v>
      </c>
      <c r="E5" s="9">
        <f t="shared" si="1"/>
        <v>9075</v>
      </c>
      <c r="F5" s="12">
        <f t="shared" si="3"/>
        <v>51425</v>
      </c>
      <c r="G5">
        <v>4</v>
      </c>
      <c r="J5">
        <f t="shared" si="2"/>
        <v>82500</v>
      </c>
    </row>
    <row r="6" spans="1:10" x14ac:dyDescent="0.3">
      <c r="A6" t="s">
        <v>11</v>
      </c>
      <c r="B6" s="6">
        <v>40000</v>
      </c>
      <c r="C6">
        <v>30</v>
      </c>
      <c r="D6" s="8">
        <f t="shared" si="0"/>
        <v>12000</v>
      </c>
      <c r="E6" s="9">
        <f t="shared" si="1"/>
        <v>7800</v>
      </c>
      <c r="F6" s="12">
        <f t="shared" si="3"/>
        <v>44200</v>
      </c>
      <c r="G6">
        <v>5</v>
      </c>
      <c r="J6">
        <f t="shared" si="2"/>
        <v>60000</v>
      </c>
    </row>
    <row r="7" spans="1:10" x14ac:dyDescent="0.3">
      <c r="A7" s="3" t="s">
        <v>14</v>
      </c>
      <c r="B7" s="11">
        <f>SUM(B2:B6)</f>
        <v>252000</v>
      </c>
      <c r="C7" s="11">
        <f t="shared" ref="C7:F7" si="4">SUM(C2:C6)</f>
        <v>100</v>
      </c>
      <c r="D7" s="11">
        <f t="shared" si="4"/>
        <v>49750</v>
      </c>
      <c r="E7" s="11">
        <f t="shared" si="4"/>
        <v>45262.5</v>
      </c>
      <c r="F7" s="11">
        <f t="shared" si="4"/>
        <v>256487.5</v>
      </c>
    </row>
    <row r="9" spans="1:10" x14ac:dyDescent="0.3">
      <c r="A9" t="s">
        <v>15</v>
      </c>
      <c r="B9" s="8">
        <f>AVERAGE(F2:F6)</f>
        <v>51297.5</v>
      </c>
    </row>
    <row r="10" spans="1:10" x14ac:dyDescent="0.3">
      <c r="A10" t="s">
        <v>16</v>
      </c>
      <c r="B10" s="8">
        <f>MAX(F2:F6)</f>
        <v>65875</v>
      </c>
    </row>
    <row r="11" spans="1:10" x14ac:dyDescent="0.3">
      <c r="A11" t="s">
        <v>17</v>
      </c>
      <c r="B11" s="8">
        <f>MIN(F2:F6)</f>
        <v>43987.5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235" zoomScaleNormal="235" workbookViewId="0">
      <selection activeCell="G9" sqref="G9"/>
    </sheetView>
  </sheetViews>
  <sheetFormatPr defaultRowHeight="14.4" x14ac:dyDescent="0.3"/>
  <cols>
    <col min="1" max="1" width="21.77734375" customWidth="1"/>
    <col min="2" max="2" width="10.33203125" customWidth="1"/>
    <col min="5" max="5" width="9.77734375" customWidth="1"/>
    <col min="6" max="6" width="16.5546875" customWidth="1"/>
    <col min="7" max="7" width="21" customWidth="1"/>
  </cols>
  <sheetData>
    <row r="1" spans="1:8" x14ac:dyDescent="0.3">
      <c r="A1" t="s">
        <v>18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8" x14ac:dyDescent="0.3">
      <c r="A2" t="s">
        <v>19</v>
      </c>
      <c r="B2" s="1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E2*$H$2</f>
        <v>45000</v>
      </c>
      <c r="H2" s="2">
        <v>0.2</v>
      </c>
    </row>
    <row r="3" spans="1:8" x14ac:dyDescent="0.3">
      <c r="A3" t="s">
        <v>20</v>
      </c>
      <c r="B3" s="1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E3*$H$2</f>
        <v>36000</v>
      </c>
    </row>
    <row r="4" spans="1:8" x14ac:dyDescent="0.3">
      <c r="A4" t="s">
        <v>21</v>
      </c>
      <c r="B4" s="1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8" x14ac:dyDescent="0.3">
      <c r="A5" t="s">
        <v>22</v>
      </c>
      <c r="B5" s="1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7" spans="1:8" x14ac:dyDescent="0.3">
      <c r="A7" t="s">
        <v>28</v>
      </c>
      <c r="B7" s="1">
        <f>SUM(B2:B6)</f>
        <v>65300</v>
      </c>
      <c r="C7" s="1">
        <f t="shared" ref="C7:F7" si="3">SUM(C2:C6)</f>
        <v>70</v>
      </c>
      <c r="D7" s="1">
        <f t="shared" si="3"/>
        <v>25</v>
      </c>
      <c r="E7" s="1">
        <f t="shared" si="3"/>
        <v>466500</v>
      </c>
      <c r="F7" s="1">
        <f t="shared" si="3"/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2026-09-23T06:14:39Z</dcterms:created>
  <dcterms:modified xsi:type="dcterms:W3CDTF">2026-09-23T07:33:29Z</dcterms:modified>
</cp:coreProperties>
</file>