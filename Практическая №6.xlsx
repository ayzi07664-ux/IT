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800" windowHeight="10050" activeTab="1"/>
  </bookViews>
  <sheets>
    <sheet name="Статистика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I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I8" i="2"/>
  <c r="I6" i="2"/>
  <c r="I5" i="2"/>
  <c r="I3" i="2"/>
  <c r="H4" i="1"/>
  <c r="I2" i="2"/>
  <c r="I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H6" i="1"/>
  <c r="H5" i="1"/>
  <c r="H3" i="1"/>
  <c r="H2" i="1"/>
  <c r="H1" i="1"/>
</calcChain>
</file>

<file path=xl/comments1.xml><?xml version="1.0" encoding="utf-8"?>
<comments xmlns="http://schemas.openxmlformats.org/spreadsheetml/2006/main">
  <authors>
    <author>Студенты Левченко Д.О.</author>
  </authors>
  <commentList>
    <comment ref="B3" authorId="0" shapeId="0">
      <text>
        <r>
          <rPr>
            <b/>
            <sz val="9"/>
            <color indexed="81"/>
            <rFont val="Tahoma"/>
            <charset val="1"/>
          </rPr>
          <t>Студенты Левченко Д.О.: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<sst xmlns="http://schemas.openxmlformats.org/spreadsheetml/2006/main" count="55" uniqueCount="48">
  <si>
    <t>№</t>
  </si>
  <si>
    <t>ФИО</t>
  </si>
  <si>
    <t>Иванов И.И.</t>
  </si>
  <si>
    <t>Петров П.П.</t>
  </si>
  <si>
    <t>Сидорова С.С.</t>
  </si>
  <si>
    <t>Смирнова С.С.</t>
  </si>
  <si>
    <t>Волков В.В.</t>
  </si>
  <si>
    <t>Морозова М.М</t>
  </si>
  <si>
    <t>Новиков Н.Н.</t>
  </si>
  <si>
    <t>Фёдорова Ф.Ф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</si>
  <si>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</si>
  <si>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</si>
  <si>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</si>
  <si>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</si>
  <si>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</si>
  <si>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</si>
  <si>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Балл 1</t>
  </si>
  <si>
    <t>Балл 2</t>
  </si>
  <si>
    <t>Балл 3</t>
  </si>
  <si>
    <t>Кузнецов К.К.</t>
  </si>
  <si>
    <t>Сумма</t>
  </si>
  <si>
    <t>Среднее значение</t>
  </si>
  <si>
    <t>Медиана</t>
  </si>
  <si>
    <t>Мода</t>
  </si>
  <si>
    <t>Минимум</t>
  </si>
  <si>
    <t>Максимум</t>
  </si>
  <si>
    <t>Товар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</si>
  <si>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</si>
  <si>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</si>
  <si>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</si>
  <si>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</si>
  <si>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</si>
  <si>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</si>
  <si>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</si>
  <si>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Веб-камера</t>
  </si>
  <si>
    <t>Наушники</t>
  </si>
  <si>
    <t>Коврик для мыши</t>
  </si>
  <si>
    <t>Картридж</t>
  </si>
  <si>
    <t>Бумага А4</t>
  </si>
  <si>
    <t>Роутер</t>
  </si>
  <si>
    <t>Внешний HDD</t>
  </si>
  <si>
    <t>USB-хаб</t>
  </si>
  <si>
    <t>Цена (руб).</t>
  </si>
  <si>
    <t>Продаю (шт).</t>
  </si>
  <si>
    <t>Выручка</t>
  </si>
  <si>
    <t>Категория</t>
  </si>
  <si>
    <t>Станд. Отклонение</t>
  </si>
  <si>
    <t>Дисперсия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</si>
</sst>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left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zoomScale="175" zoomScaleNormal="175" workbookViewId="0">
      <selection activeCell="C29" sqref="C29"/>
    </sheetView>
  </sheetViews>
  <sheetFormatPr defaultRowHeight="15" x14ac:dyDescent="0.25"/>
  <cols>
    <col min="2" max="2" width="16.42578125" customWidth="1"/>
    <col min="7" max="7" width="18.28515625" customWidth="1"/>
  </cols>
  <sheetData>
    <row r="1" spans="1:8" x14ac:dyDescent="0.25">
      <c r="A1" s="3" t="s">
        <v>0</v>
      </c>
      <c r="B1" s="5" t="s">
        <v>1</v>
      </c>
      <c r="C1" s="3" t="s">
        <v>16</v>
      </c>
      <c r="D1" s="3" t="s">
        <v>17</v>
      </c>
      <c r="E1" s="3" t="s">
        <v>18</v>
      </c>
      <c r="G1" s="3" t="s">
        <v>20</v>
      </c>
      <c r="H1" s="4">
        <f>SUM(C2:C16)</f>
        <v>1170</v>
      </c>
    </row>
    <row r="2" spans="1:8" x14ac:dyDescent="0.25">
      <c r="A2">
        <v>1</v>
      </c>
      <c r="B2" t="s">
        <v>2</v>
      </c>
      <c r="C2" s="4">
        <v>85</v>
      </c>
      <c r="D2" s="4">
        <v>78</v>
      </c>
      <c r="E2" s="4">
        <v>92</v>
      </c>
      <c r="G2" s="2" t="s">
        <v>21</v>
      </c>
      <c r="H2" s="4">
        <f>AVERAGE(C2:C16)</f>
        <v>78</v>
      </c>
    </row>
    <row r="3" spans="1:8" x14ac:dyDescent="0.25">
      <c r="A3">
        <v>2</v>
      </c>
      <c r="B3" s="1" t="s">
        <v>3</v>
      </c>
      <c r="C3" s="4">
        <v>72</v>
      </c>
      <c r="D3" s="4">
        <v>65</v>
      </c>
      <c r="E3" s="4">
        <v>80</v>
      </c>
      <c r="G3" s="2" t="s">
        <v>22</v>
      </c>
      <c r="H3" s="4">
        <f>MEDIAN(C2:C16)</f>
        <v>78</v>
      </c>
    </row>
    <row r="4" spans="1:8" x14ac:dyDescent="0.25">
      <c r="A4">
        <v>3</v>
      </c>
      <c r="B4" t="s">
        <v>4</v>
      </c>
      <c r="C4" s="4">
        <v>95</v>
      </c>
      <c r="D4" s="4">
        <v>88</v>
      </c>
      <c r="E4" s="4">
        <v>98</v>
      </c>
      <c r="G4" s="2" t="s">
        <v>23</v>
      </c>
      <c r="H4">
        <f>MODE(C2:C16)</f>
        <v>65</v>
      </c>
    </row>
    <row r="5" spans="1:8" x14ac:dyDescent="0.25">
      <c r="A5">
        <v>4</v>
      </c>
      <c r="B5" t="s">
        <v>19</v>
      </c>
      <c r="C5" s="4">
        <v>65</v>
      </c>
      <c r="D5" s="4">
        <v>55</v>
      </c>
      <c r="E5" s="4">
        <v>70</v>
      </c>
      <c r="G5" s="2" t="s">
        <v>24</v>
      </c>
      <c r="H5" s="4">
        <f>MIN(C2:C16)</f>
        <v>55</v>
      </c>
    </row>
    <row r="6" spans="1:8" x14ac:dyDescent="0.25">
      <c r="A6">
        <v>5</v>
      </c>
      <c r="B6" t="s">
        <v>5</v>
      </c>
      <c r="C6" s="4">
        <v>78</v>
      </c>
      <c r="D6" s="4">
        <v>82</v>
      </c>
      <c r="E6" s="4">
        <v>85</v>
      </c>
      <c r="G6" s="2" t="s">
        <v>25</v>
      </c>
      <c r="H6" s="4">
        <f>MAX(C2:C16)</f>
        <v>98</v>
      </c>
    </row>
    <row r="7" spans="1:8" x14ac:dyDescent="0.25">
      <c r="A7">
        <v>6</v>
      </c>
      <c r="B7" t="s">
        <v>6</v>
      </c>
      <c r="C7" s="4">
        <v>88</v>
      </c>
      <c r="D7" s="4">
        <v>90</v>
      </c>
      <c r="E7" s="4">
        <v>95</v>
      </c>
    </row>
    <row r="8" spans="1:8" x14ac:dyDescent="0.25">
      <c r="A8">
        <v>7</v>
      </c>
      <c r="B8" t="s">
        <v>7</v>
      </c>
      <c r="C8" s="4">
        <v>65</v>
      </c>
      <c r="D8" s="4">
        <v>70</v>
      </c>
      <c r="E8" s="4">
        <v>68</v>
      </c>
    </row>
    <row r="9" spans="1:8" x14ac:dyDescent="0.25">
      <c r="A9">
        <v>8</v>
      </c>
      <c r="B9" t="s">
        <v>8</v>
      </c>
      <c r="C9" s="4">
        <v>92</v>
      </c>
      <c r="D9" s="4">
        <v>85</v>
      </c>
      <c r="E9" s="4">
        <v>88</v>
      </c>
    </row>
    <row r="10" spans="1:8" x14ac:dyDescent="0.25">
      <c r="A10">
        <v>9</v>
      </c>
      <c r="B10" t="s">
        <v>9</v>
      </c>
      <c r="C10" s="4">
        <v>55</v>
      </c>
      <c r="D10" s="4">
        <v>60</v>
      </c>
      <c r="E10" s="4">
        <v>58</v>
      </c>
    </row>
    <row r="11" spans="1:8" x14ac:dyDescent="0.25">
      <c r="A11">
        <v>10</v>
      </c>
      <c r="B11" t="s">
        <v>10</v>
      </c>
      <c r="C11" s="4">
        <v>80</v>
      </c>
      <c r="D11" s="4">
        <v>75</v>
      </c>
      <c r="E11" s="4">
        <v>82</v>
      </c>
    </row>
    <row r="12" spans="1:8" x14ac:dyDescent="0.25">
      <c r="A12">
        <v>11</v>
      </c>
      <c r="B12" t="s">
        <v>11</v>
      </c>
      <c r="C12" s="4">
        <v>70</v>
      </c>
      <c r="D12" s="4">
        <v>68</v>
      </c>
      <c r="E12" s="4">
        <v>72</v>
      </c>
    </row>
    <row r="13" spans="1:8" x14ac:dyDescent="0.25">
      <c r="A13">
        <v>12</v>
      </c>
      <c r="B13" t="s">
        <v>12</v>
      </c>
      <c r="C13" s="4">
        <v>90</v>
      </c>
      <c r="D13" s="4">
        <v>92</v>
      </c>
      <c r="E13" s="4">
        <v>94</v>
      </c>
    </row>
    <row r="14" spans="1:8" x14ac:dyDescent="0.25">
      <c r="A14">
        <v>12</v>
      </c>
      <c r="B14" t="s">
        <v>13</v>
      </c>
      <c r="C14" s="4">
        <v>75</v>
      </c>
      <c r="D14" s="4">
        <v>78</v>
      </c>
      <c r="E14" s="4">
        <v>80</v>
      </c>
    </row>
    <row r="15" spans="1:8" x14ac:dyDescent="0.25">
      <c r="A15">
        <v>14</v>
      </c>
      <c r="B15" t="s">
        <v>14</v>
      </c>
      <c r="C15" s="4">
        <v>62</v>
      </c>
      <c r="D15" s="4">
        <v>58</v>
      </c>
      <c r="E15" s="4">
        <v>65</v>
      </c>
    </row>
    <row r="16" spans="1:8" x14ac:dyDescent="0.25">
      <c r="A16">
        <v>15</v>
      </c>
      <c r="B16" t="s">
        <v>15</v>
      </c>
      <c r="C16" s="4">
        <v>98</v>
      </c>
      <c r="D16" s="4">
        <v>95</v>
      </c>
      <c r="E16" s="4">
        <v>100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B1" zoomScale="205" zoomScaleNormal="205" workbookViewId="0">
      <selection activeCell="I12" sqref="I12"/>
    </sheetView>
  </sheetViews>
  <sheetFormatPr defaultRowHeight="15" x14ac:dyDescent="0.25"/>
  <cols>
    <col min="2" max="2" width="17.42578125" customWidth="1"/>
    <col min="3" max="3" width="10.85546875" customWidth="1"/>
    <col min="4" max="4" width="16" customWidth="1"/>
    <col min="6" max="6" width="11.5703125" customWidth="1"/>
    <col min="8" max="8" width="18.140625" customWidth="1"/>
    <col min="9" max="9" width="12.28515625" bestFit="1" customWidth="1"/>
  </cols>
  <sheetData>
    <row r="1" spans="1:9" x14ac:dyDescent="0.25">
      <c r="A1" t="s">
        <v>0</v>
      </c>
      <c r="B1" t="s">
        <v>26</v>
      </c>
      <c r="C1" t="s">
        <v>42</v>
      </c>
      <c r="D1" t="s">
        <v>43</v>
      </c>
      <c r="E1" t="s">
        <v>44</v>
      </c>
      <c r="F1" t="s">
        <v>45</v>
      </c>
      <c r="H1" t="s">
        <v>20</v>
      </c>
      <c r="I1">
        <f>SUM(E2:E16)</f>
        <v>1888100</v>
      </c>
    </row>
    <row r="2" spans="1:9" x14ac:dyDescent="0.25">
      <c r="A2">
        <v>1</v>
      </c>
      <c r="B2" t="s">
        <v>27</v>
      </c>
      <c r="C2" s="6">
        <v>45000</v>
      </c>
      <c r="D2">
        <v>12</v>
      </c>
      <c r="E2">
        <f>C2*D2</f>
        <v>540000</v>
      </c>
      <c r="F2" t="str">
        <f>IF(E2&gt;100000, "топ", IF(E2&gt;50000, "средний","низкий"))</f>
        <v>топ</v>
      </c>
      <c r="H2" t="s">
        <v>21</v>
      </c>
      <c r="I2">
        <f>AVERAGE(E2:E16)</f>
        <v>125873.33333333333</v>
      </c>
    </row>
    <row r="3" spans="1:9" x14ac:dyDescent="0.25">
      <c r="A3">
        <v>2</v>
      </c>
      <c r="B3" t="s">
        <v>28</v>
      </c>
      <c r="C3" s="6">
        <v>18000</v>
      </c>
      <c r="D3">
        <v>25</v>
      </c>
      <c r="E3">
        <f t="shared" ref="E3:E16" si="0">C3*D3</f>
        <v>450000</v>
      </c>
      <c r="F3" t="str">
        <f t="shared" ref="F3:F16" si="1">IF(E3&gt;100000, "топ", IF(E3&gt;50000, "средний","низкий"))</f>
        <v>топ</v>
      </c>
      <c r="H3" t="s">
        <v>22</v>
      </c>
      <c r="I3">
        <f>MEDIAN(E2:E16)</f>
        <v>70000</v>
      </c>
    </row>
    <row r="4" spans="1:9" x14ac:dyDescent="0.25">
      <c r="A4">
        <v>3</v>
      </c>
      <c r="B4" t="s">
        <v>29</v>
      </c>
      <c r="C4" s="6">
        <v>1500</v>
      </c>
      <c r="D4">
        <v>60</v>
      </c>
      <c r="E4">
        <f t="shared" si="0"/>
        <v>90000</v>
      </c>
      <c r="F4" t="str">
        <f t="shared" si="1"/>
        <v>средний</v>
      </c>
      <c r="H4" t="s">
        <v>23</v>
      </c>
      <c r="I4" t="e">
        <f>MODE(E2:E16)</f>
        <v>#N/A</v>
      </c>
    </row>
    <row r="5" spans="1:9" x14ac:dyDescent="0.25">
      <c r="A5">
        <v>4</v>
      </c>
      <c r="B5" t="s">
        <v>30</v>
      </c>
      <c r="C5" s="6">
        <v>800</v>
      </c>
      <c r="D5">
        <v>85</v>
      </c>
      <c r="E5">
        <f t="shared" si="0"/>
        <v>68000</v>
      </c>
      <c r="F5" t="str">
        <f t="shared" si="1"/>
        <v>средний</v>
      </c>
      <c r="H5" t="s">
        <v>24</v>
      </c>
      <c r="I5">
        <f>MIN(E2:E16)</f>
        <v>36000</v>
      </c>
    </row>
    <row r="6" spans="1:9" x14ac:dyDescent="0.25">
      <c r="A6">
        <v>5</v>
      </c>
      <c r="B6" t="s">
        <v>31</v>
      </c>
      <c r="C6" s="6">
        <v>12000</v>
      </c>
      <c r="D6">
        <v>8</v>
      </c>
      <c r="E6">
        <f t="shared" si="0"/>
        <v>96000</v>
      </c>
      <c r="F6" t="str">
        <f t="shared" si="1"/>
        <v>средний</v>
      </c>
      <c r="H6" t="s">
        <v>25</v>
      </c>
      <c r="I6">
        <f>MAX(E1:E16)</f>
        <v>540000</v>
      </c>
    </row>
    <row r="7" spans="1:9" x14ac:dyDescent="0.25">
      <c r="A7">
        <v>6</v>
      </c>
      <c r="B7" t="s">
        <v>32</v>
      </c>
      <c r="C7" s="6">
        <v>9000</v>
      </c>
      <c r="D7">
        <v>6</v>
      </c>
      <c r="E7">
        <f t="shared" si="0"/>
        <v>54000</v>
      </c>
      <c r="F7" t="str">
        <f t="shared" si="1"/>
        <v>средний</v>
      </c>
      <c r="H7" t="s">
        <v>46</v>
      </c>
      <c r="I7">
        <f>STDEV(E2:E16)</f>
        <v>152155.31757604354</v>
      </c>
    </row>
    <row r="8" spans="1:9" x14ac:dyDescent="0.25">
      <c r="A8">
        <v>7</v>
      </c>
      <c r="B8" t="s">
        <v>33</v>
      </c>
      <c r="C8" s="6">
        <v>600</v>
      </c>
      <c r="D8">
        <v>120</v>
      </c>
      <c r="E8">
        <f t="shared" si="0"/>
        <v>72000</v>
      </c>
      <c r="F8" t="str">
        <f t="shared" si="1"/>
        <v>средний</v>
      </c>
      <c r="H8" t="s">
        <v>47</v>
      </c>
      <c r="I8">
        <f>_xlfn.VAR.S(E2:E16)</f>
        <v>23151240666.666668</v>
      </c>
    </row>
    <row r="9" spans="1:9" x14ac:dyDescent="0.25">
      <c r="A9">
        <v>8</v>
      </c>
      <c r="B9" t="s">
        <v>40</v>
      </c>
      <c r="C9" s="6">
        <v>5500</v>
      </c>
      <c r="D9">
        <v>15</v>
      </c>
      <c r="E9">
        <f t="shared" si="0"/>
        <v>82500</v>
      </c>
      <c r="F9" t="str">
        <f t="shared" si="1"/>
        <v>средний</v>
      </c>
    </row>
    <row r="10" spans="1:9" x14ac:dyDescent="0.25">
      <c r="A10">
        <v>9</v>
      </c>
      <c r="B10" t="s">
        <v>34</v>
      </c>
      <c r="C10" s="6">
        <v>2800</v>
      </c>
      <c r="D10">
        <v>22</v>
      </c>
      <c r="E10">
        <f t="shared" si="0"/>
        <v>61600</v>
      </c>
      <c r="F10" t="str">
        <f t="shared" si="1"/>
        <v>средний</v>
      </c>
    </row>
    <row r="11" spans="1:9" x14ac:dyDescent="0.25">
      <c r="A11">
        <v>10</v>
      </c>
      <c r="B11" t="s">
        <v>35</v>
      </c>
      <c r="C11" s="6">
        <v>3200</v>
      </c>
      <c r="D11">
        <v>35</v>
      </c>
      <c r="E11">
        <f t="shared" si="0"/>
        <v>112000</v>
      </c>
      <c r="F11" t="str">
        <f t="shared" si="1"/>
        <v>топ</v>
      </c>
    </row>
    <row r="12" spans="1:9" x14ac:dyDescent="0.25">
      <c r="A12">
        <v>11</v>
      </c>
      <c r="B12" t="s">
        <v>36</v>
      </c>
      <c r="C12" s="6">
        <v>400</v>
      </c>
      <c r="D12">
        <v>90</v>
      </c>
      <c r="E12">
        <f t="shared" si="0"/>
        <v>36000</v>
      </c>
      <c r="F12" t="str">
        <f t="shared" si="1"/>
        <v>низкий</v>
      </c>
    </row>
    <row r="13" spans="1:9" x14ac:dyDescent="0.25">
      <c r="A13">
        <v>12</v>
      </c>
      <c r="B13" t="s">
        <v>41</v>
      </c>
      <c r="C13" s="6">
        <v>1200</v>
      </c>
      <c r="D13">
        <v>40</v>
      </c>
      <c r="E13">
        <f t="shared" si="0"/>
        <v>48000</v>
      </c>
      <c r="F13" t="str">
        <f t="shared" si="1"/>
        <v>низкий</v>
      </c>
    </row>
    <row r="14" spans="1:9" x14ac:dyDescent="0.25">
      <c r="A14">
        <v>13</v>
      </c>
      <c r="B14" t="s">
        <v>37</v>
      </c>
      <c r="C14" s="6">
        <v>2500</v>
      </c>
      <c r="D14">
        <v>18</v>
      </c>
      <c r="E14">
        <f t="shared" si="0"/>
        <v>45000</v>
      </c>
      <c r="F14" t="str">
        <f t="shared" si="1"/>
        <v>низкий</v>
      </c>
    </row>
    <row r="15" spans="1:9" x14ac:dyDescent="0.25">
      <c r="A15">
        <v>14</v>
      </c>
      <c r="B15" t="s">
        <v>38</v>
      </c>
      <c r="C15" s="6">
        <v>350</v>
      </c>
      <c r="D15">
        <v>200</v>
      </c>
      <c r="E15">
        <f t="shared" si="0"/>
        <v>70000</v>
      </c>
      <c r="F15" t="str">
        <f t="shared" si="1"/>
        <v>средний</v>
      </c>
    </row>
    <row r="16" spans="1:9" x14ac:dyDescent="0.25">
      <c r="A16">
        <v>15</v>
      </c>
      <c r="B16" t="s">
        <v>39</v>
      </c>
      <c r="C16" s="6">
        <v>4500</v>
      </c>
      <c r="D16">
        <v>14</v>
      </c>
      <c r="E16">
        <f t="shared" si="0"/>
        <v>63000</v>
      </c>
      <c r="F16" t="str">
        <f t="shared" si="1"/>
        <v>средний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2026-09-30T06:18:29Z</dcterms:created>
  <dcterms:modified xsi:type="dcterms:W3CDTF">2026-09-30T07:30:26Z</dcterms:modified>
</cp:coreProperties>
</file>